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F1DD4942-CBE8-441C-A373-D8849D2C2FEB}" xr6:coauthVersionLast="47" xr6:coauthVersionMax="47" xr10:uidLastSave="{00000000-0000-0000-0000-000000000000}"/>
  <bookViews>
    <workbookView xWindow="-108" yWindow="-108" windowWidth="23256" windowHeight="13896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10" i="1"/>
  <c r="S4" i="1"/>
  <c r="S7" i="1"/>
  <c r="S8" i="1"/>
  <c r="S9" i="1"/>
  <c r="S3" i="1"/>
  <c r="S2" i="1"/>
  <c r="S12" i="1" l="1"/>
</calcChain>
</file>

<file path=xl/sharedStrings.xml><?xml version="1.0" encoding="utf-8"?>
<sst xmlns="http://schemas.openxmlformats.org/spreadsheetml/2006/main" count="81" uniqueCount="78">
  <si>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</si>
  <si>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</si>
  <si>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</si>
  <si>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</si>
  <si>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</si>
  <si>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</si>
  <si>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</si>
  <si>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</si>
  <si>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</si>
  <si>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</si>
  <si>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</si>
  <si>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</si>
  <si>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</si>
  <si>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</si>
  <si>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</si>
  <si>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</si>
  <si>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</si>
  <si>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</si>
  <si>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</si>
  <si>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</si>
  <si>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</si>
  <si>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</si>
  <si>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</si>
  <si>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</si>
  <si>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</si>
  <si>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</si>
  <si>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</si>
  <si>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</si>
  <si>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</si>
  <si>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</si>
  <si>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</si>
  <si>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</si>
  <si>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</si>
  <si>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</si>
  <si>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</si>
  <si>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</si>
  <si>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</si>
  <si>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</si>
  <si>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</si>
  <si>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</si>
  <si>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</si>
  <si>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</si>
  <si>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</si>
  <si>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</si>
  <si>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</si>
  <si>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</si>
  <si>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</si>
  <si>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</si>
  <si>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</si>
  <si>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</si>
  <si>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</si>
  <si>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</si>
  <si>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</si>
  <si>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</si>
  <si>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</si>
  <si>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</si>
  <si>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</si>
  <si>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</si>
  <si>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</si>
  <si>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</si>
  <si>
    <t>VOLUME_MUTE</t>
  </si>
  <si>
    <t>MEDIA_NEXT_TRACK</t>
  </si>
  <si>
    <t>MEDIA_PLAY_PAUSE</t>
  </si>
  <si>
    <t>MEDIA_PREVIOUS_TRACK</t>
  </si>
  <si>
    <t>C-2050000114243</t>
  </si>
  <si>
    <t>Lever-T</t>
  </si>
  <si>
    <t>Display Pins</t>
  </si>
  <si>
    <t>VCC</t>
  </si>
  <si>
    <t>GND</t>
  </si>
  <si>
    <t>SCL</t>
  </si>
  <si>
    <t>SDA</t>
  </si>
  <si>
    <t>RS/DC</t>
  </si>
  <si>
    <t>RES</t>
  </si>
  <si>
    <t>CS</t>
  </si>
  <si>
    <t>ICSP SCK</t>
  </si>
  <si>
    <t>ICSP COPI</t>
  </si>
  <si>
    <t>ICSP 5V</t>
  </si>
  <si>
    <t>ICSP 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</si>
</sst>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6" borderId="0" xfId="0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0" fillId="5" borderId="0" xfId="0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U12"/>
  <sheetViews>
    <sheetView tabSelected="1" zoomScaleNormal="100" workbookViewId="0">
      <selection activeCell="D1" sqref="D1"/>
    </sheetView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22.44140625" style="8" bestFit="1" customWidth="1"/>
    <col min="11" max="12" width="10.33203125" style="8" customWidth="1"/>
    <col min="13" max="13" width="11.21875" style="8" bestFit="1" customWidth="1"/>
    <col min="14" max="14" width="11.21875" style="8" customWidth="1"/>
    <col min="15" max="15" width="11" style="8" customWidth="1"/>
    <col min="16" max="16" width="16.6640625" style="8" bestFit="1" customWidth="1"/>
    <col min="17" max="17" width="8.88671875" customWidth="1"/>
    <col min="18" max="18" width="10" style="8" customWidth="1"/>
    <col min="19" max="19" width="7.44140625" style="8" bestFit="1" customWidth="1"/>
    <col min="20" max="20" width="7.6640625" style="8" bestFit="1" customWidth="1"/>
    <col min="21" max="21" width="19.5546875" style="8" customWidth="1"/>
    <col min="22" max="16384" width="11.5546875" style="8"/>
  </cols>
  <sheetData>
    <row r="1" spans="1:21" s="7" customFormat="1" x14ac:dyDescent="0.3">
      <c r="A1" s="7" t="s">
        <v>0</v>
      </c>
      <c r="B1" s="7" t="s">
        <v>1</v>
      </c>
      <c r="C1" s="7" t="s">
        <v>57</v>
      </c>
      <c r="D1" s="7" t="s">
        <v>58</v>
      </c>
      <c r="E1" s="7" t="s">
        <v>3</v>
      </c>
      <c r="F1" s="7" t="s">
        <v>35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28</v>
      </c>
      <c r="M1" s="7" t="s">
        <v>66</v>
      </c>
      <c r="P1" s="7" t="s">
        <v>31</v>
      </c>
      <c r="Q1" s="7" t="s">
        <v>36</v>
      </c>
      <c r="R1" s="7" t="s">
        <v>48</v>
      </c>
      <c r="S1" s="7" t="s">
        <v>32</v>
      </c>
      <c r="U1" s="7" t="s">
        <v>42</v>
      </c>
    </row>
    <row r="2" spans="1:21" x14ac:dyDescent="0.3">
      <c r="A2" s="1">
        <v>1</v>
      </c>
      <c r="B2" s="6" t="s">
        <v>4</v>
      </c>
      <c r="C2" s="1" t="s">
        <v>16</v>
      </c>
      <c r="D2" s="1">
        <v>9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60</v>
      </c>
      <c r="K2" s="2">
        <v>4268</v>
      </c>
      <c r="M2" s="5" t="s">
        <v>67</v>
      </c>
      <c r="N2" s="17" t="s">
        <v>76</v>
      </c>
      <c r="P2" s="16" t="s">
        <v>59</v>
      </c>
      <c r="Q2" s="11">
        <v>0</v>
      </c>
      <c r="R2" s="8">
        <v>11.9</v>
      </c>
      <c r="S2" s="8">
        <f>PRODUCT(Q2, R2)</f>
        <v>0</v>
      </c>
      <c r="U2" s="8" t="s">
        <v>43</v>
      </c>
    </row>
    <row r="3" spans="1:21" x14ac:dyDescent="0.3">
      <c r="A3" s="1">
        <v>2</v>
      </c>
      <c r="B3" s="5" t="s">
        <v>5</v>
      </c>
      <c r="C3" s="1" t="s">
        <v>17</v>
      </c>
      <c r="D3" s="1">
        <v>8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26</v>
      </c>
      <c r="K3" s="2">
        <v>4219</v>
      </c>
      <c r="M3" s="7" t="s">
        <v>68</v>
      </c>
      <c r="N3" s="18" t="s">
        <v>77</v>
      </c>
      <c r="P3" s="12" t="s">
        <v>33</v>
      </c>
      <c r="Q3" s="13">
        <v>1</v>
      </c>
      <c r="R3" s="12">
        <v>0</v>
      </c>
      <c r="S3" s="12">
        <f>PRODUCT(Q3, R3)</f>
        <v>0</v>
      </c>
      <c r="U3" s="8" t="s">
        <v>52</v>
      </c>
    </row>
    <row r="4" spans="1:21" x14ac:dyDescent="0.3">
      <c r="A4" s="1">
        <v>3</v>
      </c>
      <c r="B4" s="4" t="s">
        <v>7</v>
      </c>
      <c r="C4" s="1" t="s">
        <v>18</v>
      </c>
      <c r="D4" s="1">
        <v>7</v>
      </c>
      <c r="E4" s="1" t="s">
        <v>13</v>
      </c>
      <c r="F4" s="10"/>
      <c r="G4" s="2">
        <v>3</v>
      </c>
      <c r="H4" s="3" t="s">
        <v>30</v>
      </c>
      <c r="I4" s="2">
        <v>11</v>
      </c>
      <c r="J4" s="2" t="s">
        <v>61</v>
      </c>
      <c r="K4" s="2">
        <v>4271</v>
      </c>
      <c r="M4" s="4" t="s">
        <v>69</v>
      </c>
      <c r="N4" s="19" t="s">
        <v>74</v>
      </c>
      <c r="P4" s="5" t="s">
        <v>37</v>
      </c>
      <c r="Q4" s="11">
        <v>0</v>
      </c>
      <c r="R4" s="8">
        <v>7.49</v>
      </c>
      <c r="S4" s="8">
        <f t="shared" ref="S4" si="0">PRODUCT(Q4, R4)</f>
        <v>0</v>
      </c>
      <c r="T4" s="8" t="s">
        <v>50</v>
      </c>
      <c r="U4" s="8" t="s">
        <v>44</v>
      </c>
    </row>
    <row r="5" spans="1:21" x14ac:dyDescent="0.3">
      <c r="A5" s="1">
        <v>4</v>
      </c>
      <c r="B5" s="3" t="s">
        <v>6</v>
      </c>
      <c r="C5" s="1" t="s">
        <v>19</v>
      </c>
      <c r="D5" s="1">
        <v>6</v>
      </c>
      <c r="E5" s="1" t="s">
        <v>12</v>
      </c>
      <c r="F5" s="10"/>
      <c r="G5" s="2">
        <v>4</v>
      </c>
      <c r="H5" s="3" t="s">
        <v>21</v>
      </c>
      <c r="I5" s="2">
        <v>10</v>
      </c>
      <c r="J5" s="2" t="s">
        <v>62</v>
      </c>
      <c r="K5" s="2">
        <v>4274</v>
      </c>
      <c r="M5" s="4" t="s">
        <v>70</v>
      </c>
      <c r="N5" s="19" t="s">
        <v>75</v>
      </c>
      <c r="P5" s="8" t="s">
        <v>37</v>
      </c>
      <c r="Q5" s="11">
        <v>5</v>
      </c>
      <c r="R5" s="8">
        <v>21.39</v>
      </c>
      <c r="S5" s="8">
        <f t="shared" ref="S5:S10" si="1">PRODUCT(Q5, R5)</f>
        <v>106.95</v>
      </c>
      <c r="T5" s="8" t="s">
        <v>65</v>
      </c>
      <c r="U5" s="8" t="s">
        <v>64</v>
      </c>
    </row>
    <row r="6" spans="1:21" x14ac:dyDescent="0.3">
      <c r="A6" s="1">
        <v>5</v>
      </c>
      <c r="B6" s="1" t="s">
        <v>8</v>
      </c>
      <c r="C6" s="1" t="s">
        <v>55</v>
      </c>
      <c r="D6" s="1">
        <v>5</v>
      </c>
      <c r="E6" s="1" t="s">
        <v>14</v>
      </c>
      <c r="F6" s="10"/>
      <c r="G6" s="2">
        <v>5</v>
      </c>
      <c r="H6" s="3" t="s">
        <v>22</v>
      </c>
      <c r="I6" s="2">
        <v>1</v>
      </c>
      <c r="J6" s="2" t="s">
        <v>63</v>
      </c>
      <c r="K6" s="2">
        <v>4272</v>
      </c>
      <c r="M6" s="4" t="s">
        <v>71</v>
      </c>
      <c r="N6" s="4">
        <v>2</v>
      </c>
      <c r="P6" s="16" t="s">
        <v>38</v>
      </c>
      <c r="Q6" s="11">
        <v>0</v>
      </c>
      <c r="R6" s="8">
        <v>1.49</v>
      </c>
      <c r="S6" s="8">
        <f t="shared" si="1"/>
        <v>0</v>
      </c>
      <c r="T6" s="8" t="s">
        <v>49</v>
      </c>
      <c r="U6" s="8" t="s">
        <v>45</v>
      </c>
    </row>
    <row r="7" spans="1:21" x14ac:dyDescent="0.3">
      <c r="A7" s="1">
        <v>6</v>
      </c>
      <c r="B7" s="1" t="s">
        <v>15</v>
      </c>
      <c r="C7" s="1" t="s">
        <v>56</v>
      </c>
      <c r="D7" s="1">
        <v>4</v>
      </c>
      <c r="E7" s="1" t="s">
        <v>10</v>
      </c>
      <c r="F7" s="15"/>
      <c r="G7" s="2">
        <v>6</v>
      </c>
      <c r="H7" s="4" t="s">
        <v>29</v>
      </c>
      <c r="I7" s="2">
        <v>0</v>
      </c>
      <c r="J7" s="2" t="s">
        <v>27</v>
      </c>
      <c r="K7" s="2">
        <v>4220</v>
      </c>
      <c r="M7" s="4" t="s">
        <v>72</v>
      </c>
      <c r="N7" s="4">
        <v>3</v>
      </c>
      <c r="P7" s="16" t="s">
        <v>38</v>
      </c>
      <c r="Q7" s="11">
        <v>0</v>
      </c>
      <c r="R7" s="8">
        <v>1.49</v>
      </c>
      <c r="S7" s="8">
        <f t="shared" si="1"/>
        <v>0</v>
      </c>
      <c r="T7" s="8" t="s">
        <v>53</v>
      </c>
      <c r="U7" s="8" t="s">
        <v>54</v>
      </c>
    </row>
    <row r="8" spans="1:21" x14ac:dyDescent="0.3">
      <c r="G8" s="9"/>
      <c r="H8" s="9"/>
      <c r="I8" s="9"/>
      <c r="J8" s="9"/>
      <c r="M8" s="4" t="s">
        <v>73</v>
      </c>
      <c r="N8" s="4">
        <v>17</v>
      </c>
      <c r="P8" s="16" t="s">
        <v>39</v>
      </c>
      <c r="Q8" s="11">
        <v>0</v>
      </c>
      <c r="R8" s="8">
        <v>2.29</v>
      </c>
      <c r="S8" s="8">
        <f t="shared" si="1"/>
        <v>0</v>
      </c>
      <c r="U8" s="8" t="s">
        <v>46</v>
      </c>
    </row>
    <row r="9" spans="1:21" x14ac:dyDescent="0.3">
      <c r="F9" s="9"/>
      <c r="G9" s="9"/>
      <c r="H9" s="9"/>
      <c r="I9" s="9"/>
      <c r="J9" s="9"/>
      <c r="P9" s="16" t="s">
        <v>41</v>
      </c>
      <c r="Q9" s="11">
        <v>0</v>
      </c>
      <c r="R9" s="8">
        <v>0.05</v>
      </c>
      <c r="S9" s="8">
        <f t="shared" si="1"/>
        <v>0</v>
      </c>
      <c r="U9" s="8" t="s">
        <v>47</v>
      </c>
    </row>
    <row r="10" spans="1:21" x14ac:dyDescent="0.3">
      <c r="P10" s="16" t="s">
        <v>40</v>
      </c>
      <c r="Q10" s="11">
        <v>0</v>
      </c>
      <c r="R10" s="8">
        <v>9.99</v>
      </c>
      <c r="S10" s="8">
        <f t="shared" si="1"/>
        <v>0</v>
      </c>
      <c r="U10" s="8" t="s">
        <v>51</v>
      </c>
    </row>
    <row r="11" spans="1:21" x14ac:dyDescent="0.3">
      <c r="Q11" s="11"/>
    </row>
    <row r="12" spans="1:21" x14ac:dyDescent="0.3">
      <c r="P12" s="8" t="s">
        <v>34</v>
      </c>
      <c r="S12" s="8">
        <f>SUM(S2:S10)</f>
        <v>106.95</v>
      </c>
    </row>
  </sheetData>
  <phoneticPr fontId="2" type="noConversion"/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2025-12-31T21:14:44Z</dcterms:modified>
</cp:coreProperties>
</file>